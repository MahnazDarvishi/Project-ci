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vi\OneDrive\Desktop\"/>
    </mc:Choice>
  </mc:AlternateContent>
  <xr:revisionPtr revIDLastSave="0" documentId="13_ncr:1_{FF330C40-B9C1-4D63-A274-F364FE85C15C}" xr6:coauthVersionLast="47" xr6:coauthVersionMax="47" xr10:uidLastSave="{00000000-0000-0000-0000-000000000000}"/>
  <bookViews>
    <workbookView xWindow="-110" yWindow="-110" windowWidth="19420" windowHeight="11500" xr2:uid="{503BE84C-01A9-4457-8E08-A4AD97BB4482}"/>
  </bookViews>
  <sheets>
    <sheet name="ListeEtudiants_cours420D62BB_g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B24" i="1"/>
  <c r="C24" i="1"/>
  <c r="A2" i="1"/>
  <c r="B2" i="1"/>
  <c r="C2" i="1"/>
  <c r="A13" i="1"/>
  <c r="B13" i="1"/>
  <c r="C13" i="1"/>
  <c r="A7" i="1"/>
  <c r="B7" i="1"/>
  <c r="C7" i="1"/>
  <c r="A22" i="1"/>
  <c r="B22" i="1"/>
  <c r="C22" i="1"/>
  <c r="A34" i="1"/>
  <c r="B34" i="1"/>
  <c r="C34" i="1"/>
  <c r="A14" i="1"/>
  <c r="B14" i="1"/>
  <c r="C14" i="1"/>
  <c r="A29" i="1"/>
  <c r="B29" i="1"/>
  <c r="C29" i="1"/>
  <c r="A16" i="1"/>
  <c r="B16" i="1"/>
  <c r="C16" i="1"/>
  <c r="A3" i="1"/>
  <c r="B3" i="1"/>
  <c r="C3" i="1"/>
  <c r="A11" i="1"/>
  <c r="B11" i="1"/>
  <c r="C11" i="1"/>
  <c r="A33" i="1"/>
  <c r="B33" i="1"/>
  <c r="C33" i="1"/>
  <c r="A25" i="1"/>
  <c r="B25" i="1"/>
  <c r="C25" i="1"/>
  <c r="A4" i="1"/>
  <c r="B4" i="1"/>
  <c r="C4" i="1"/>
  <c r="A18" i="1"/>
  <c r="B18" i="1"/>
  <c r="C18" i="1"/>
  <c r="A32" i="1"/>
  <c r="B32" i="1"/>
  <c r="C32" i="1"/>
  <c r="A28" i="1"/>
  <c r="B28" i="1"/>
  <c r="C28" i="1"/>
  <c r="A21" i="1"/>
  <c r="B21" i="1"/>
  <c r="C21" i="1"/>
</calcChain>
</file>

<file path=xl/sharedStrings.xml><?xml version="1.0" encoding="utf-8"?>
<sst xmlns="http://schemas.openxmlformats.org/spreadsheetml/2006/main" count="17" uniqueCount="5">
  <si>
    <t>No de DA</t>
  </si>
  <si>
    <t>Nom de l'étudiant</t>
  </si>
  <si>
    <t>Prénom de l'étudiant</t>
  </si>
  <si>
    <t xml:space="preserve"> </t>
  </si>
  <si>
    <t>Note sur 100: Evaluer le contenu du projet/qualité de la présentation/difficulté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</si>
</sst>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E6C9-A6EB-4F07-A013-AA0DE2AD6DCF}">
  <dimension ref="A1:G34"/>
  <sheetViews>
    <sheetView tabSelected="1" workbookViewId="0">
      <selection activeCell="G17" sqref="G17"/>
    </sheetView>
  </sheetViews>
  <sheetFormatPr defaultRowHeight="14.5" x14ac:dyDescent="0.35"/>
  <cols>
    <col min="2" max="2" width="22.453125" customWidth="1"/>
    <col min="3" max="3" width="25.453125" customWidth="1"/>
    <col min="7" max="7" width="71.26953125" customWidth="1"/>
  </cols>
  <sheetData>
    <row r="1" spans="1:7" ht="37" x14ac:dyDescent="0.45">
      <c r="A1" t="s">
        <v>0</v>
      </c>
      <c r="B1" t="s">
        <v>1</v>
      </c>
      <c r="C1" t="s">
        <v>2</v>
      </c>
      <c r="D1" t="s">
        <v>3</v>
      </c>
      <c r="G1" s="3" t="s">
        <v>4</v>
      </c>
    </row>
    <row r="2" spans="1:7" x14ac:dyDescent="0.35">
      <c r="A2" s="1" t="str">
        <f>"6356979"</f>
        <v>6356979</v>
      </c>
      <c r="B2" s="1" t="str">
        <f>"Azizi Alaoui"</f>
        <v>Azizi Alaoui</v>
      </c>
      <c r="C2" s="1" t="str">
        <f>"Soukaina"</f>
        <v>Soukaina</v>
      </c>
      <c r="D2">
        <v>2</v>
      </c>
      <c r="F2">
        <v>90</v>
      </c>
    </row>
    <row r="3" spans="1:7" x14ac:dyDescent="0.35">
      <c r="A3" s="1" t="str">
        <f>"6361167"</f>
        <v>6361167</v>
      </c>
      <c r="B3" s="1" t="str">
        <f>"Hraybi"</f>
        <v>Hraybi</v>
      </c>
      <c r="C3" s="1" t="str">
        <f>"Zaynab"</f>
        <v>Zaynab</v>
      </c>
      <c r="D3" t="s">
        <v>3</v>
      </c>
    </row>
    <row r="4" spans="1:7" x14ac:dyDescent="0.35">
      <c r="A4" s="1" t="str">
        <f>"6358453"</f>
        <v>6358453</v>
      </c>
      <c r="B4" s="1" t="str">
        <f>"Nafii"</f>
        <v>Nafii</v>
      </c>
      <c r="C4" s="1" t="str">
        <f>"Adil"</f>
        <v>Adil</v>
      </c>
      <c r="D4" t="s">
        <v>3</v>
      </c>
    </row>
    <row r="5" spans="1:7" x14ac:dyDescent="0.35">
      <c r="D5" t="s">
        <v>3</v>
      </c>
    </row>
    <row r="6" spans="1:7" x14ac:dyDescent="0.35">
      <c r="D6" t="s">
        <v>3</v>
      </c>
    </row>
    <row r="7" spans="1:7" x14ac:dyDescent="0.35">
      <c r="A7" s="2" t="str">
        <f>"6358236"</f>
        <v>6358236</v>
      </c>
      <c r="B7" s="2" t="str">
        <f>"Belaiboud"</f>
        <v>Belaiboud</v>
      </c>
      <c r="C7" s="2" t="str">
        <f>"Chakib"</f>
        <v>Chakib</v>
      </c>
      <c r="D7">
        <v>9</v>
      </c>
      <c r="F7">
        <v>90</v>
      </c>
    </row>
    <row r="8" spans="1:7" x14ac:dyDescent="0.35">
      <c r="D8" t="s">
        <v>3</v>
      </c>
    </row>
    <row r="9" spans="1:7" x14ac:dyDescent="0.35">
      <c r="D9" t="s">
        <v>3</v>
      </c>
    </row>
    <row r="10" spans="1:7" x14ac:dyDescent="0.35">
      <c r="D10" t="s">
        <v>3</v>
      </c>
    </row>
    <row r="11" spans="1:7" x14ac:dyDescent="0.35">
      <c r="A11" s="1" t="str">
        <f>"6360621"</f>
        <v>6360621</v>
      </c>
      <c r="B11" s="1" t="str">
        <f>"Janjague"</f>
        <v>Janjague</v>
      </c>
      <c r="C11" s="1" t="str">
        <f>"Ismaïl"</f>
        <v>Ismaïl</v>
      </c>
      <c r="D11">
        <v>5</v>
      </c>
      <c r="F11">
        <v>90</v>
      </c>
    </row>
    <row r="13" spans="1:7" x14ac:dyDescent="0.35">
      <c r="A13" s="2" t="str">
        <f>"6361485"</f>
        <v>6361485</v>
      </c>
      <c r="B13" s="2" t="str">
        <f>"Belader"</f>
        <v>Belader</v>
      </c>
      <c r="C13" s="2" t="str">
        <f>"Mohamed"</f>
        <v>Mohamed</v>
      </c>
      <c r="D13">
        <v>8</v>
      </c>
      <c r="F13">
        <v>90</v>
      </c>
    </row>
    <row r="14" spans="1:7" x14ac:dyDescent="0.35">
      <c r="A14" s="2" t="str">
        <f>"6361571"</f>
        <v>6361571</v>
      </c>
      <c r="B14" s="2" t="str">
        <f>"El Makdouni"</f>
        <v>El Makdouni</v>
      </c>
      <c r="C14" s="2" t="str">
        <f>"Abdelhafid"</f>
        <v>Abdelhafid</v>
      </c>
      <c r="D14" t="s">
        <v>3</v>
      </c>
    </row>
    <row r="15" spans="1:7" x14ac:dyDescent="0.35">
      <c r="D15" t="s">
        <v>3</v>
      </c>
    </row>
    <row r="16" spans="1:7" x14ac:dyDescent="0.35">
      <c r="A16" s="1" t="str">
        <f>"1895353"</f>
        <v>1895353</v>
      </c>
      <c r="B16" s="1" t="str">
        <f>"Heskia"</f>
        <v>Heskia</v>
      </c>
      <c r="C16" s="1" t="str">
        <f>"Dina"</f>
        <v>Dina</v>
      </c>
      <c r="D16" t="s">
        <v>3</v>
      </c>
      <c r="F16">
        <v>90</v>
      </c>
    </row>
    <row r="18" spans="1:6" x14ac:dyDescent="0.35">
      <c r="A18" s="1" t="str">
        <f>"6215500"</f>
        <v>6215500</v>
      </c>
      <c r="B18" s="1" t="str">
        <f>"Ngantchui Nguewouo"</f>
        <v>Ngantchui Nguewouo</v>
      </c>
      <c r="C18" s="1" t="str">
        <f>"Joseph Marius"</f>
        <v>Joseph Marius</v>
      </c>
      <c r="D18">
        <v>6</v>
      </c>
      <c r="F18">
        <v>85</v>
      </c>
    </row>
    <row r="19" spans="1:6" x14ac:dyDescent="0.35">
      <c r="D19" t="s">
        <v>3</v>
      </c>
    </row>
    <row r="21" spans="1:6" x14ac:dyDescent="0.35">
      <c r="A21" s="2" t="str">
        <f>"6311654"</f>
        <v>6311654</v>
      </c>
      <c r="B21" s="2" t="str">
        <f>"Zergoug"</f>
        <v>Zergoug</v>
      </c>
      <c r="C21" s="2" t="str">
        <f>"Salim"</f>
        <v>Salim</v>
      </c>
      <c r="D21">
        <v>3</v>
      </c>
    </row>
    <row r="22" spans="1:6" x14ac:dyDescent="0.35">
      <c r="A22" s="2" t="str">
        <f>"6353453"</f>
        <v>6353453</v>
      </c>
      <c r="B22" s="2" t="str">
        <f>"Darvishi"</f>
        <v>Darvishi</v>
      </c>
      <c r="C22" s="2" t="str">
        <f>"Mahnaz"</f>
        <v>Mahnaz</v>
      </c>
    </row>
    <row r="24" spans="1:6" x14ac:dyDescent="0.35">
      <c r="A24" s="1" t="str">
        <f>"6356871"</f>
        <v>6356871</v>
      </c>
      <c r="B24" s="1" t="str">
        <f>"Andrianirina"</f>
        <v>Andrianirina</v>
      </c>
      <c r="C24" s="1" t="str">
        <f>"Pierre Hubertin"</f>
        <v>Pierre Hubertin</v>
      </c>
      <c r="D24">
        <v>7</v>
      </c>
      <c r="F24">
        <v>87</v>
      </c>
    </row>
    <row r="25" spans="1:6" x14ac:dyDescent="0.35">
      <c r="A25" s="1" t="str">
        <f>"6361587"</f>
        <v>6361587</v>
      </c>
      <c r="B25" s="1" t="str">
        <f>"Kouotou"</f>
        <v>Kouotou</v>
      </c>
      <c r="C25" s="1" t="str">
        <f>"Hamza Malik"</f>
        <v>Hamza Malik</v>
      </c>
    </row>
    <row r="27" spans="1:6" x14ac:dyDescent="0.35">
      <c r="D27" t="s">
        <v>3</v>
      </c>
    </row>
    <row r="28" spans="1:6" x14ac:dyDescent="0.35">
      <c r="A28" s="2" t="str">
        <f>"6278678"</f>
        <v>6278678</v>
      </c>
      <c r="B28" s="2" t="str">
        <f>"Zagre"</f>
        <v>Zagre</v>
      </c>
      <c r="C28" s="2" t="str">
        <f>"Singapinda"</f>
        <v>Singapinda</v>
      </c>
      <c r="D28">
        <v>4</v>
      </c>
      <c r="F28">
        <v>90</v>
      </c>
    </row>
    <row r="29" spans="1:6" x14ac:dyDescent="0.35">
      <c r="A29" s="2" t="str">
        <f>"6352671"</f>
        <v>6352671</v>
      </c>
      <c r="B29" s="2" t="str">
        <f>"Guire"</f>
        <v>Guire</v>
      </c>
      <c r="C29" s="2" t="str">
        <f>"Rachid Adama Kévin"</f>
        <v>Rachid Adama Kévin</v>
      </c>
    </row>
    <row r="32" spans="1:6" x14ac:dyDescent="0.35">
      <c r="A32" s="2" t="str">
        <f>"6361194"</f>
        <v>6361194</v>
      </c>
      <c r="B32" s="2" t="str">
        <f>"Oulad Salah"</f>
        <v>Oulad Salah</v>
      </c>
      <c r="C32" s="2" t="str">
        <f>"Ayoub"</f>
        <v>Ayoub</v>
      </c>
      <c r="D32">
        <v>1</v>
      </c>
      <c r="F32">
        <v>90</v>
      </c>
    </row>
    <row r="33" spans="1:3" x14ac:dyDescent="0.35">
      <c r="A33" s="2" t="str">
        <f>"6361275"</f>
        <v>6361275</v>
      </c>
      <c r="B33" s="2" t="str">
        <f>"Khlif"</f>
        <v>Khlif</v>
      </c>
      <c r="C33" s="2" t="str">
        <f>"Mohamed Amine"</f>
        <v>Mohamed Amine</v>
      </c>
    </row>
    <row r="34" spans="1:3" x14ac:dyDescent="0.35">
      <c r="A34" s="2" t="str">
        <f>"2479340"</f>
        <v>2479340</v>
      </c>
      <c r="B34" s="2" t="str">
        <f>"El Kohen"</f>
        <v>El Kohen</v>
      </c>
      <c r="C34" s="2" t="str">
        <f>"Mohammed Amine"</f>
        <v>Mohammed Amine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ListeEtudiants_cours420D62BB_gr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esfandiaris1@csdmedu.ca votijo08</cp:lastModifiedBy>
  <dcterms:created xsi:type="dcterms:W3CDTF">2026-04-10T23:23:40Z</dcterms:created>
  <dcterms:modified xsi:type="dcterms:W3CDTF">2026-05-30T02:06:52Z</dcterms:modified>
</cp:coreProperties>
</file>